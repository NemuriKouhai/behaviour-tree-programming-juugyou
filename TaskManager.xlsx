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00" activeTab="2"/>
  </bookViews>
  <sheets>
    <sheet name="概要" sheetId="1" r:id="rId1"/>
    <sheet name="タスク" sheetId="2" r:id="rId2"/>
    <sheet name="タスク-実装" sheetId="4" r:id="rId3"/>
    <sheet name="設定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<sst xmlns="http://schemas.openxmlformats.org/spreadsheetml/2006/main" count="76" uniqueCount="35">
  <si>
    <t>提出締切</t>
  </si>
  <si>
    <t>残り時間</t>
  </si>
  <si>
    <t>Remaining</t>
  </si>
  <si>
    <t>名前</t>
  </si>
  <si>
    <t>ジェフとれヴォルアーチ</t>
  </si>
  <si>
    <t>課題：</t>
  </si>
  <si>
    <t>戦闘シーンのみ</t>
  </si>
  <si>
    <t>プレイヤー（イメルダ ベルペーゼ）の挙動</t>
  </si>
  <si>
    <t>武器（魔法の杖）の挙動</t>
  </si>
  <si>
    <t>敵の挙動（プレイヤーに向かってくる雑魚一種類）</t>
  </si>
  <si>
    <t>アイテム、レベルアップ、固有スキルなどは無し</t>
  </si>
  <si>
    <t>プレイヤーと敵と武器（弾）が動き、</t>
  </si>
  <si>
    <t>プレイヤーと敵が攻撃しあい、</t>
  </si>
  <si>
    <t>ゲームクリア or ゲームオーバーになるまでを実装する</t>
  </si>
  <si>
    <t>状態</t>
  </si>
  <si>
    <t>タスク名前</t>
  </si>
  <si>
    <t>コメント</t>
  </si>
  <si>
    <t>始まる日</t>
  </si>
  <si>
    <t>終了日（予定）</t>
  </si>
  <si>
    <t>STANDBY</t>
  </si>
  <si>
    <t>レベルデザイン（カメラ・壁・床）</t>
  </si>
  <si>
    <t>プレイヤー動き</t>
  </si>
  <si>
    <t>マウス・回転</t>
  </si>
  <si>
    <t>玉を撃て</t>
  </si>
  <si>
    <t>敵追いかけ</t>
  </si>
  <si>
    <t>state machine</t>
  </si>
  <si>
    <t>敵が死ぬ</t>
  </si>
  <si>
    <t>プレイヤー死ぬ</t>
  </si>
  <si>
    <t>ゲームオーバー・ゲームクリア UI</t>
  </si>
  <si>
    <t>GameManager</t>
  </si>
  <si>
    <t>5分超えて、ゲームクリア</t>
  </si>
  <si>
    <t>敵がどんどん来る　SpawnSystem</t>
  </si>
  <si>
    <t>終了日（実装）</t>
  </si>
  <si>
    <t>DONE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</si>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</sst>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;@"/>
    <numFmt numFmtId="179" formatCode="h:mm:ss;@"/>
    <numFmt numFmtId="180" formatCode="0_);[Red]\(0\)"/>
    <numFmt numFmtId="181" formatCode="[$-F400]h:mm:ss\ AM/PM"/>
  </numFmts>
  <fonts count="24">
    <font>
      <sz val="11"/>
      <color theme="1"/>
      <name val="Calibri"/>
      <charset val="128"/>
      <scheme val="minor"/>
    </font>
    <font>
      <sz val="12"/>
      <color theme="1"/>
      <name val="Yu Gothic UI"/>
      <charset val="128"/>
    </font>
    <font>
      <b/>
      <sz val="12"/>
      <color theme="1"/>
      <name val="Yu Gothic UI"/>
      <charset val="128"/>
    </font>
    <font>
      <b/>
      <sz val="12"/>
      <color rgb="FFFF0000"/>
      <name val="Yu Gothic UI"/>
      <charset val="128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78" fontId="1" fillId="0" borderId="1" xfId="0" applyNumberFormat="1" applyFont="1" applyBorder="1" applyAlignment="1">
      <alignment horizontal="center" vertical="center"/>
    </xf>
    <xf numFmtId="178" fontId="1" fillId="0" borderId="0" xfId="0" applyNumberFormat="1" applyFont="1">
      <alignment vertical="center"/>
    </xf>
    <xf numFmtId="0" fontId="1" fillId="0" borderId="2" xfId="0" applyFont="1" applyBorder="1">
      <alignment vertical="center"/>
    </xf>
    <xf numFmtId="58" fontId="1" fillId="0" borderId="3" xfId="0" applyNumberFormat="1" applyFont="1" applyBorder="1">
      <alignment vertical="center"/>
    </xf>
    <xf numFmtId="179" fontId="1" fillId="0" borderId="1" xfId="0" applyNumberFormat="1" applyFont="1" applyBorder="1">
      <alignment vertical="center"/>
    </xf>
    <xf numFmtId="180" fontId="1" fillId="0" borderId="0" xfId="0" applyNumberFormat="1" applyFont="1">
      <alignment vertical="center"/>
    </xf>
    <xf numFmtId="181" fontId="1" fillId="0" borderId="0" xfId="0" applyNumberFormat="1" applyFont="1">
      <alignment vertical="center"/>
    </xf>
    <xf numFmtId="22" fontId="3" fillId="3" borderId="4" xfId="0" applyNumberFormat="1" applyFont="1" applyFill="1" applyBorder="1">
      <alignment vertical="center"/>
    </xf>
    <xf numFmtId="20" fontId="3" fillId="3" borderId="4" xfId="0" applyNumberFormat="1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1" fillId="0" borderId="6" xfId="0" applyFont="1" applyBorder="1">
      <alignment vertical="center"/>
    </xf>
    <xf numFmtId="0" fontId="1" fillId="0" borderId="5" xfId="0" applyFont="1" applyBorder="1" applyAlignment="1">
      <alignment vertical="center" wrapText="1"/>
    </xf>
    <xf numFmtId="0" fontId="2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 applyAlignment="1">
      <alignment horizontal="left" vertical="center" indent="1"/>
    </xf>
    <xf numFmtId="0" fontId="1" fillId="0" borderId="10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fill>
        <patternFill patternType="solid">
          <bgColor rgb="FF71F828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8B8B"/>
        </patternFill>
      </fill>
    </dxf>
    <dxf>
      <fill>
        <patternFill patternType="solid">
          <bgColor rgb="FF86F4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A5A5"/>
        </patternFill>
      </fill>
    </dxf>
  </dxfs>
  <tableStyles count="0" defaultTableStyle="TableStyleMedium2" defaultPivotStyle="PivotStyleLight16"/>
  <colors>
    <mruColors>
      <color rgb="004DD60C"/>
      <color rgb="00FFA5A5"/>
      <color rgb="00F85208"/>
      <color rgb="00FF8B8B"/>
      <color rgb="0071F828"/>
      <color rgb="0086F4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3"/>
  <sheetViews>
    <sheetView workbookViewId="0">
      <selection activeCell="L16" sqref="L16"/>
    </sheetView>
  </sheetViews>
  <sheetFormatPr defaultColWidth="9" defaultRowHeight="17.5" outlineLevelCol="6"/>
  <cols>
    <col min="1" max="1" width="9" style="1"/>
    <col min="2" max="2" width="19.9090909090909" style="1" customWidth="1"/>
    <col min="3" max="3" width="26.7272727272727" style="1" customWidth="1"/>
    <col min="4" max="4" width="16.4181818181818" style="1" customWidth="1"/>
    <col min="5" max="5" width="17" style="1"/>
    <col min="6" max="6" width="9" style="1" customWidth="1"/>
    <col min="7" max="16384" width="9" style="1"/>
  </cols>
  <sheetData>
    <row r="1" ht="18.25" spans="2:7">
      <c r="B1" s="8" t="s">
        <v>0</v>
      </c>
      <c r="C1" s="9">
        <v>46010</v>
      </c>
      <c r="D1" s="10">
        <v>0.999305555555556</v>
      </c>
      <c r="F1" s="11"/>
      <c r="G1" s="12"/>
    </row>
    <row r="2" ht="18.25" spans="2:5">
      <c r="B2" s="5" t="s">
        <v>1</v>
      </c>
      <c r="C2" s="13" t="str">
        <f ca="1">_xlfn.CONCAT(C1-TODAY()," Day(s)")</f>
        <v>3 Day(s)</v>
      </c>
      <c r="D2" s="14">
        <f ca="1">C1+D1-NOW()</f>
        <v>3.96572916666628</v>
      </c>
      <c r="E2" s="15" t="s">
        <v>2</v>
      </c>
    </row>
    <row r="3" ht="18.25" spans="2:3">
      <c r="B3" s="16" t="s">
        <v>3</v>
      </c>
      <c r="C3" s="17" t="s">
        <v>4</v>
      </c>
    </row>
    <row r="5" spans="2:3">
      <c r="B5" s="18" t="s">
        <v>5</v>
      </c>
      <c r="C5" s="19"/>
    </row>
    <row r="6" spans="2:3">
      <c r="B6" s="20" t="s">
        <v>6</v>
      </c>
      <c r="C6" s="21"/>
    </row>
    <row r="7" spans="2:3">
      <c r="B7" s="20" t="s">
        <v>7</v>
      </c>
      <c r="C7" s="21"/>
    </row>
    <row r="8" spans="2:3">
      <c r="B8" s="20" t="s">
        <v>8</v>
      </c>
      <c r="C8" s="21"/>
    </row>
    <row r="9" spans="2:3">
      <c r="B9" s="20" t="s">
        <v>9</v>
      </c>
      <c r="C9" s="21"/>
    </row>
    <row r="10" spans="2:3">
      <c r="B10" s="20" t="s">
        <v>10</v>
      </c>
      <c r="C10" s="21"/>
    </row>
    <row r="11" spans="2:3">
      <c r="B11" s="22" t="s">
        <v>11</v>
      </c>
      <c r="C11" s="21"/>
    </row>
    <row r="12" spans="2:3">
      <c r="B12" s="22" t="s">
        <v>12</v>
      </c>
      <c r="C12" s="21"/>
    </row>
    <row r="13" ht="18.25" spans="2:3">
      <c r="B13" s="23" t="s">
        <v>13</v>
      </c>
      <c r="C13" s="2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5"/>
  <sheetViews>
    <sheetView workbookViewId="0">
      <selection activeCell="C20" sqref="C20"/>
    </sheetView>
  </sheetViews>
  <sheetFormatPr defaultColWidth="8.72727272727273" defaultRowHeight="17.5"/>
  <cols>
    <col min="1" max="1" width="8.72727272727273" style="1"/>
    <col min="2" max="2" width="20.0909090909091" style="1" customWidth="1"/>
    <col min="3" max="3" width="31" style="1" customWidth="1"/>
    <col min="4" max="4" width="23.1818181818182" style="1" customWidth="1"/>
    <col min="5" max="5" width="9.54545454545454" style="1" customWidth="1"/>
    <col min="6" max="6" width="15.6363636363636" style="1" customWidth="1"/>
    <col min="7" max="7" width="11.3636363636364" style="1"/>
    <col min="8" max="16384" width="8.72727272727273" style="1"/>
  </cols>
  <sheetData>
    <row r="2" ht="18.25" spans="12:12">
      <c r="L2" s="7"/>
    </row>
    <row r="3" ht="18.25" spans="2:11"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>
        <v>46006</v>
      </c>
      <c r="H3" s="3">
        <f>G3+1</f>
        <v>46007</v>
      </c>
      <c r="I3" s="3">
        <f>H3+1</f>
        <v>46008</v>
      </c>
      <c r="J3" s="3">
        <f>I3+1</f>
        <v>46009</v>
      </c>
      <c r="K3" s="3">
        <f>J3+1</f>
        <v>46010</v>
      </c>
    </row>
    <row r="4" ht="18.25" spans="2:11">
      <c r="B4" s="4" t="s">
        <v>19</v>
      </c>
      <c r="C4" s="5" t="s">
        <v>20</v>
      </c>
      <c r="D4" s="5"/>
      <c r="E4" s="6">
        <v>46006</v>
      </c>
      <c r="F4" s="6">
        <v>46007</v>
      </c>
      <c r="G4" s="5"/>
      <c r="H4" s="5"/>
      <c r="I4" s="5"/>
      <c r="J4" s="5"/>
      <c r="K4" s="5"/>
    </row>
    <row r="5" ht="18.25" spans="2:11">
      <c r="B5" s="4" t="s">
        <v>19</v>
      </c>
      <c r="C5" s="5" t="s">
        <v>21</v>
      </c>
      <c r="D5" s="5"/>
      <c r="E5" s="6">
        <v>46007</v>
      </c>
      <c r="F5" s="6">
        <v>46009</v>
      </c>
      <c r="G5" s="5"/>
      <c r="H5" s="5"/>
      <c r="I5" s="5"/>
      <c r="J5" s="5"/>
      <c r="K5" s="5"/>
    </row>
    <row r="6" ht="18.25" spans="2:11">
      <c r="B6" s="4" t="s">
        <v>19</v>
      </c>
      <c r="C6" s="5" t="s">
        <v>22</v>
      </c>
      <c r="D6" s="5"/>
      <c r="E6" s="6">
        <v>46007</v>
      </c>
      <c r="F6" s="6">
        <v>46009</v>
      </c>
      <c r="G6" s="5"/>
      <c r="H6" s="5"/>
      <c r="I6" s="5"/>
      <c r="J6" s="5"/>
      <c r="K6" s="5"/>
    </row>
    <row r="7" ht="18.25" spans="2:11">
      <c r="B7" s="4" t="s">
        <v>19</v>
      </c>
      <c r="C7" s="5" t="s">
        <v>23</v>
      </c>
      <c r="D7" s="5"/>
      <c r="E7" s="6">
        <v>46007</v>
      </c>
      <c r="F7" s="6">
        <v>46009</v>
      </c>
      <c r="G7" s="5"/>
      <c r="H7" s="5"/>
      <c r="I7" s="5"/>
      <c r="J7" s="5"/>
      <c r="K7" s="5"/>
    </row>
    <row r="8" ht="18.25" spans="2:11">
      <c r="B8" s="4" t="s">
        <v>19</v>
      </c>
      <c r="C8" s="5" t="s">
        <v>24</v>
      </c>
      <c r="D8" s="5" t="s">
        <v>25</v>
      </c>
      <c r="E8" s="6">
        <v>46007</v>
      </c>
      <c r="F8" s="6">
        <v>46009</v>
      </c>
      <c r="G8" s="5"/>
      <c r="H8" s="5"/>
      <c r="I8" s="5"/>
      <c r="J8" s="5"/>
      <c r="K8" s="5"/>
    </row>
    <row r="9" ht="18.25" spans="2:11">
      <c r="B9" s="4" t="s">
        <v>19</v>
      </c>
      <c r="C9" s="5" t="s">
        <v>26</v>
      </c>
      <c r="D9" s="5"/>
      <c r="E9" s="6">
        <v>46007</v>
      </c>
      <c r="F9" s="6">
        <v>46009</v>
      </c>
      <c r="G9" s="5"/>
      <c r="H9" s="5"/>
      <c r="I9" s="5"/>
      <c r="J9" s="5"/>
      <c r="K9" s="5"/>
    </row>
    <row r="10" ht="18.25" spans="2:11">
      <c r="B10" s="4" t="s">
        <v>19</v>
      </c>
      <c r="C10" s="5" t="s">
        <v>27</v>
      </c>
      <c r="D10" s="5"/>
      <c r="E10" s="6">
        <v>46008</v>
      </c>
      <c r="F10" s="6">
        <v>46010</v>
      </c>
      <c r="G10" s="5"/>
      <c r="H10" s="5"/>
      <c r="I10" s="5"/>
      <c r="J10" s="5"/>
      <c r="K10" s="5"/>
    </row>
    <row r="11" ht="18.25" spans="2:11">
      <c r="B11" s="4" t="s">
        <v>19</v>
      </c>
      <c r="C11" s="5" t="s">
        <v>28</v>
      </c>
      <c r="D11" s="5"/>
      <c r="E11" s="6">
        <v>46008</v>
      </c>
      <c r="F11" s="6">
        <v>46010</v>
      </c>
      <c r="G11" s="5"/>
      <c r="H11" s="5"/>
      <c r="I11" s="5"/>
      <c r="J11" s="5"/>
      <c r="K11" s="5"/>
    </row>
    <row r="12" ht="18.25" spans="2:11">
      <c r="B12" s="4" t="s">
        <v>19</v>
      </c>
      <c r="C12" s="5" t="s">
        <v>29</v>
      </c>
      <c r="D12" s="5"/>
      <c r="E12" s="6">
        <v>46008</v>
      </c>
      <c r="F12" s="6">
        <v>46010</v>
      </c>
      <c r="G12" s="5"/>
      <c r="H12" s="5"/>
      <c r="I12" s="5"/>
      <c r="J12" s="5"/>
      <c r="K12" s="5"/>
    </row>
    <row r="13" ht="18.25" spans="2:11">
      <c r="B13" s="4" t="s">
        <v>19</v>
      </c>
      <c r="C13" s="5" t="s">
        <v>30</v>
      </c>
      <c r="D13" s="5"/>
      <c r="E13" s="6">
        <v>46008</v>
      </c>
      <c r="F13" s="6">
        <v>46010</v>
      </c>
      <c r="G13" s="5"/>
      <c r="H13" s="5"/>
      <c r="I13" s="5"/>
      <c r="J13" s="5"/>
      <c r="K13" s="5"/>
    </row>
    <row r="14" ht="18.25" spans="2:11">
      <c r="B14" s="4" t="s">
        <v>19</v>
      </c>
      <c r="C14" s="5" t="s">
        <v>31</v>
      </c>
      <c r="D14" s="5"/>
      <c r="E14" s="6">
        <v>46008</v>
      </c>
      <c r="F14" s="6">
        <v>46010</v>
      </c>
      <c r="G14" s="5"/>
      <c r="H14" s="5"/>
      <c r="I14" s="5"/>
      <c r="J14" s="5"/>
      <c r="K14" s="5"/>
    </row>
    <row r="15" ht="18.25" spans="2:11">
      <c r="B15" s="4" t="s">
        <v>19</v>
      </c>
      <c r="C15" s="5"/>
      <c r="D15" s="5"/>
      <c r="E15" s="6">
        <v>46007</v>
      </c>
      <c r="F15" s="6">
        <v>46010</v>
      </c>
      <c r="G15" s="5"/>
      <c r="H15" s="5"/>
      <c r="I15" s="5"/>
      <c r="J15" s="5"/>
      <c r="K15" s="5"/>
    </row>
  </sheetData>
  <sheetProtection algorithmName="SHA-512" hashValue="rLa9WIXV+ZhXFe4SFv1fDvq+uU527oOACKFgguIKO0G6oNc3ohgEUKvnCoFvJ5Ax5eo4LiCS5lEqDb0M1Y8q1Q==" saltValue="CIqr7nqcXApHL9tl79amHw==" spinCount="100000" sheet="1" objects="1"/>
  <conditionalFormatting sqref="B4:B15">
    <cfRule type="cellIs" dxfId="0" priority="1" operator="equal">
      <formula>"DONE"</formula>
    </cfRule>
    <cfRule type="cellIs" dxfId="1" priority="2" operator="equal">
      <formula>"ONGOING"</formula>
    </cfRule>
    <cfRule type="cellIs" dxfId="2" priority="3" operator="equal">
      <formula>"STANDBY"</formula>
    </cfRule>
  </conditionalFormatting>
  <conditionalFormatting sqref="G4:K15">
    <cfRule type="expression" dxfId="3" priority="4">
      <formula>AND($B4="DONE",G$3&gt;=$E4,G$3&lt;=$F4)</formula>
    </cfRule>
    <cfRule type="expression" dxfId="4" priority="5">
      <formula>AND($B4="ONGOING",G$3&gt;=$E4,G$3&lt;=$F4)</formula>
    </cfRule>
    <cfRule type="expression" dxfId="5" priority="6">
      <formula>AND($B4="STANDBY",G$3&gt;=$E4,G$3&lt;=$F4)</formula>
    </cfRule>
  </conditionalFormatting>
  <dataValidations count="1">
    <dataValidation type="list" showInputMessage="1" showErrorMessage="1" sqref="B4 B5:B6 B7:B15">
      <formula1>設定!$B$4:$B$6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5"/>
  <sheetViews>
    <sheetView tabSelected="1" workbookViewId="0">
      <selection activeCell="C26" sqref="C26"/>
    </sheetView>
  </sheetViews>
  <sheetFormatPr defaultColWidth="8.72727272727273" defaultRowHeight="17.5"/>
  <cols>
    <col min="1" max="1" width="8.72727272727273" style="1"/>
    <col min="2" max="2" width="20.0909090909091" style="1" customWidth="1"/>
    <col min="3" max="3" width="31" style="1" customWidth="1"/>
    <col min="4" max="4" width="23.1818181818182" style="1" customWidth="1"/>
    <col min="5" max="5" width="9.54545454545454" style="1" customWidth="1"/>
    <col min="6" max="6" width="15.6363636363636" style="1" customWidth="1"/>
    <col min="7" max="7" width="11.3636363636364" style="1"/>
    <col min="8" max="16384" width="8.72727272727273" style="1"/>
  </cols>
  <sheetData>
    <row r="2" ht="18.25" spans="12:12">
      <c r="L2" s="7"/>
    </row>
    <row r="3" ht="18.25" spans="2:11">
      <c r="B3" s="2" t="s">
        <v>14</v>
      </c>
      <c r="C3" s="2" t="s">
        <v>15</v>
      </c>
      <c r="D3" s="2" t="s">
        <v>16</v>
      </c>
      <c r="E3" s="2" t="s">
        <v>17</v>
      </c>
      <c r="F3" s="2" t="s">
        <v>32</v>
      </c>
      <c r="G3" s="3">
        <v>46006</v>
      </c>
      <c r="H3" s="3">
        <f t="shared" ref="H3:K3" si="0">G3+1</f>
        <v>46007</v>
      </c>
      <c r="I3" s="3">
        <f t="shared" si="0"/>
        <v>46008</v>
      </c>
      <c r="J3" s="3">
        <f t="shared" si="0"/>
        <v>46009</v>
      </c>
      <c r="K3" s="3">
        <f t="shared" si="0"/>
        <v>46010</v>
      </c>
    </row>
    <row r="4" ht="18.25" spans="2:11">
      <c r="B4" s="4" t="s">
        <v>33</v>
      </c>
      <c r="C4" s="5" t="s">
        <v>20</v>
      </c>
      <c r="D4" s="5"/>
      <c r="E4" s="6">
        <v>46006</v>
      </c>
      <c r="F4" s="6">
        <v>46006</v>
      </c>
      <c r="G4" s="5"/>
      <c r="H4" s="5"/>
      <c r="I4" s="5"/>
      <c r="J4" s="5"/>
      <c r="K4" s="5"/>
    </row>
    <row r="5" ht="18.25" spans="2:11">
      <c r="B5" s="4" t="s">
        <v>19</v>
      </c>
      <c r="C5" s="5" t="s">
        <v>21</v>
      </c>
      <c r="D5" s="5"/>
      <c r="E5" s="6">
        <v>46007</v>
      </c>
      <c r="F5" s="6">
        <v>46009</v>
      </c>
      <c r="G5" s="5"/>
      <c r="H5" s="5"/>
      <c r="I5" s="5"/>
      <c r="J5" s="5"/>
      <c r="K5" s="5"/>
    </row>
    <row r="6" ht="18.25" spans="2:11">
      <c r="B6" s="4" t="s">
        <v>19</v>
      </c>
      <c r="C6" s="5" t="s">
        <v>22</v>
      </c>
      <c r="D6" s="5"/>
      <c r="E6" s="6">
        <v>46007</v>
      </c>
      <c r="F6" s="6">
        <v>46009</v>
      </c>
      <c r="G6" s="5"/>
      <c r="H6" s="5"/>
      <c r="I6" s="5"/>
      <c r="J6" s="5"/>
      <c r="K6" s="5"/>
    </row>
    <row r="7" ht="18.25" spans="2:11">
      <c r="B7" s="4" t="s">
        <v>19</v>
      </c>
      <c r="C7" s="5" t="s">
        <v>23</v>
      </c>
      <c r="D7" s="5"/>
      <c r="E7" s="6">
        <v>46007</v>
      </c>
      <c r="F7" s="6">
        <v>46009</v>
      </c>
      <c r="G7" s="5"/>
      <c r="H7" s="5"/>
      <c r="I7" s="5"/>
      <c r="J7" s="5"/>
      <c r="K7" s="5"/>
    </row>
    <row r="8" ht="18.25" spans="2:11">
      <c r="B8" s="4" t="s">
        <v>19</v>
      </c>
      <c r="C8" s="5" t="s">
        <v>24</v>
      </c>
      <c r="D8" s="5" t="s">
        <v>25</v>
      </c>
      <c r="E8" s="6">
        <v>46007</v>
      </c>
      <c r="F8" s="6">
        <v>46009</v>
      </c>
      <c r="G8" s="5"/>
      <c r="H8" s="5"/>
      <c r="I8" s="5"/>
      <c r="J8" s="5"/>
      <c r="K8" s="5"/>
    </row>
    <row r="9" ht="18.25" spans="2:11">
      <c r="B9" s="4" t="s">
        <v>19</v>
      </c>
      <c r="C9" s="5" t="s">
        <v>26</v>
      </c>
      <c r="D9" s="5"/>
      <c r="E9" s="6">
        <v>46007</v>
      </c>
      <c r="F9" s="6">
        <v>46009</v>
      </c>
      <c r="G9" s="5"/>
      <c r="H9" s="5"/>
      <c r="I9" s="5"/>
      <c r="J9" s="5"/>
      <c r="K9" s="5"/>
    </row>
    <row r="10" ht="18.25" spans="2:11">
      <c r="B10" s="4" t="s">
        <v>19</v>
      </c>
      <c r="C10" s="5" t="s">
        <v>27</v>
      </c>
      <c r="D10" s="5"/>
      <c r="E10" s="6">
        <v>46008</v>
      </c>
      <c r="F10" s="6">
        <v>46010</v>
      </c>
      <c r="G10" s="5"/>
      <c r="H10" s="5"/>
      <c r="I10" s="5"/>
      <c r="J10" s="5"/>
      <c r="K10" s="5"/>
    </row>
    <row r="11" ht="18.25" spans="2:11">
      <c r="B11" s="4" t="s">
        <v>19</v>
      </c>
      <c r="C11" s="5" t="s">
        <v>28</v>
      </c>
      <c r="D11" s="5"/>
      <c r="E11" s="6">
        <v>46008</v>
      </c>
      <c r="F11" s="6">
        <v>46010</v>
      </c>
      <c r="G11" s="5"/>
      <c r="H11" s="5"/>
      <c r="I11" s="5"/>
      <c r="J11" s="5"/>
      <c r="K11" s="5"/>
    </row>
    <row r="12" ht="18.25" spans="2:11">
      <c r="B12" s="4" t="s">
        <v>19</v>
      </c>
      <c r="C12" s="5" t="s">
        <v>29</v>
      </c>
      <c r="D12" s="5"/>
      <c r="E12" s="6">
        <v>46008</v>
      </c>
      <c r="F12" s="6">
        <v>46010</v>
      </c>
      <c r="G12" s="5"/>
      <c r="H12" s="5"/>
      <c r="I12" s="5"/>
      <c r="J12" s="5"/>
      <c r="K12" s="5"/>
    </row>
    <row r="13" ht="18.25" spans="2:11">
      <c r="B13" s="4" t="s">
        <v>19</v>
      </c>
      <c r="C13" s="5" t="s">
        <v>30</v>
      </c>
      <c r="D13" s="5"/>
      <c r="E13" s="6">
        <v>46008</v>
      </c>
      <c r="F13" s="6">
        <v>46010</v>
      </c>
      <c r="G13" s="5"/>
      <c r="H13" s="5"/>
      <c r="I13" s="5"/>
      <c r="J13" s="5"/>
      <c r="K13" s="5"/>
    </row>
    <row r="14" ht="18.25" spans="2:11">
      <c r="B14" s="4" t="s">
        <v>19</v>
      </c>
      <c r="C14" s="5" t="s">
        <v>31</v>
      </c>
      <c r="D14" s="5"/>
      <c r="E14" s="6">
        <v>46008</v>
      </c>
      <c r="F14" s="6">
        <v>46010</v>
      </c>
      <c r="G14" s="5"/>
      <c r="H14" s="5"/>
      <c r="I14" s="5"/>
      <c r="J14" s="5"/>
      <c r="K14" s="5"/>
    </row>
    <row r="15" ht="18.25" spans="2:11">
      <c r="B15" s="4" t="s">
        <v>19</v>
      </c>
      <c r="C15" s="5"/>
      <c r="D15" s="5"/>
      <c r="E15" s="6">
        <v>46007</v>
      </c>
      <c r="F15" s="6">
        <v>46010</v>
      </c>
      <c r="G15" s="5"/>
      <c r="H15" s="5"/>
      <c r="I15" s="5"/>
      <c r="J15" s="5"/>
      <c r="K15" s="5"/>
    </row>
  </sheetData>
  <conditionalFormatting sqref="B4:B15">
    <cfRule type="cellIs" dxfId="2" priority="3" operator="equal">
      <formula>"STANDBY"</formula>
    </cfRule>
    <cfRule type="cellIs" dxfId="1" priority="2" operator="equal">
      <formula>"ONGOING"</formula>
    </cfRule>
    <cfRule type="cellIs" dxfId="0" priority="1" operator="equal">
      <formula>"DONE"</formula>
    </cfRule>
  </conditionalFormatting>
  <conditionalFormatting sqref="G4:K15">
    <cfRule type="expression" dxfId="5" priority="6">
      <formula>AND($B4="STANDBY",G$3&gt;=$E4,G$3&lt;=$F4)</formula>
    </cfRule>
    <cfRule type="expression" dxfId="4" priority="5">
      <formula>AND($B4="ONGOING",G$3&gt;=$E4,G$3&lt;=$F4)</formula>
    </cfRule>
    <cfRule type="expression" dxfId="3" priority="4">
      <formula>AND($B4="DONE",G$3&gt;=$E4,G$3&lt;=$F4)</formula>
    </cfRule>
  </conditionalFormatting>
  <dataValidations count="1">
    <dataValidation type="list" showInputMessage="1" showErrorMessage="1" sqref="B4 B5:B6 B7:B15">
      <formula1>設定!$B$4:$B$6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6"/>
  <sheetViews>
    <sheetView workbookViewId="0">
      <selection activeCell="B3" sqref="B3"/>
    </sheetView>
  </sheetViews>
  <sheetFormatPr defaultColWidth="8.72727272727273" defaultRowHeight="14.5" outlineLevelRow="5" outlineLevelCol="1"/>
  <sheetData>
    <row r="3" spans="2:2">
      <c r="B3" t="s">
        <v>14</v>
      </c>
    </row>
    <row r="4" spans="2:2">
      <c r="B4" t="s">
        <v>19</v>
      </c>
    </row>
    <row r="5" spans="2:2">
      <c r="B5" t="s">
        <v>34</v>
      </c>
    </row>
    <row r="6" spans="2:2">
      <c r="B6" t="s">
        <v>33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4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kyoto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概要</vt:lpstr>
      <vt:lpstr>タスク</vt:lpstr>
      <vt:lpstr>タスク-実装</vt:lpstr>
      <vt:lpstr>設定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古谷 維吹</dc:creator>
  <cp:lastModifiedBy>black</cp:lastModifiedBy>
  <dcterms:created xsi:type="dcterms:W3CDTF">2025-12-13T05:35:00Z</dcterms:created>
  <dcterms:modified xsi:type="dcterms:W3CDTF">2025-12-15T15:48:59Z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4B33783BD11A45D382AA9C9DAA25CC7B_12</vt:lpwstr>
  </property>
  <property fmtid="{D5CDD505-2E9C-101B-9397-08002B2CF9AE}" pid="3" name="KSOProductBuildVer">
    <vt:lpwstr>1033-12.2.0.19805</vt:lpwstr>
  </property>
</Properties>
</file>